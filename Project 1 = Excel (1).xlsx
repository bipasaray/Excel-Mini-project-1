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pasa\Downloads\"/>
    </mc:Choice>
  </mc:AlternateContent>
  <xr:revisionPtr revIDLastSave="0" documentId="13_ncr:1_{E7DE50FF-0FD0-40B7-B08A-7A3A9D6C1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40" i="2"/>
  <c r="B40" i="2"/>
  <c r="C36" i="2" l="1"/>
  <c r="C35" i="2"/>
  <c r="C34" i="2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<sst xmlns="http://schemas.openxmlformats.org/spreadsheetml/2006/main" count="10467" uniqueCount="170">
  <si>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</si>
  <si>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</si>
  <si>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</si>
  <si>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</si>
  <si>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</si>
  <si>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</si>
  <si>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</si>
  <si>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</si>
  <si>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</si>
  <si>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</si>
  <si>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</si>
  <si>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</si>
  <si>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</si>
  <si>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</si>
  <si>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</si>
  <si>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</si>
  <si>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</si>
  <si>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</si>
  <si>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</si>
  <si>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</si>
  <si>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</si>
  <si>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</si>
  <si>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</si>
  <si>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</si>
  <si>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</si>
  <si>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</si>
  <si>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</si>
  <si>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</si>
  <si>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</si>
  <si>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</si>
  <si>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</si>
  <si>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</si>
  <si>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</si>
  <si>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</si>
  <si>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</si>
  <si>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</si>
  <si>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</si>
  <si>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</si>
  <si>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</si>
  <si>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</si>
  <si>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</si>
  <si>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</si>
  <si>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</si>
  <si>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</si>
  <si>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</si>
  <si>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</si>
  <si>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</si>
  <si>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</si>
  <si>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</si>
  <si>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</si>
  <si>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</si>
  <si>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</si>
  <si>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</si>
  <si>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</si>
  <si>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</si>
  <si>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</si>
  <si>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</si>
  <si>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</si>
  <si>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</si>
  <si>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</si>
  <si>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</si>
  <si>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</si>
  <si>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</si>
  <si>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</si>
  <si>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</si>
  <si>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</si>
  <si>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</si>
  <si>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</si>
  <si>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</si>
  <si>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</si>
  <si>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</si>
  <si>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</si>
  <si>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</si>
  <si>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</si>
  <si>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</si>
  <si>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</si>
  <si>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</si>
  <si>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</si>
  <si>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</si>
  <si>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</si>
  <si>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</si>
  <si>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</si>
  <si>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</si>
  <si>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</si>
  <si>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</si>
  <si>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</si>
  <si>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</si>
  <si>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</si>
  <si>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</si>
  <si>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</si>
  <si>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</si>
  <si>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</si>
  <si>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</si>
  <si>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</si>
  <si>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</si>
  <si>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</si>
  <si>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</si>
  <si>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</si>
  <si>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</si>
  <si>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</si>
  <si>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</si>
  <si>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</si>
  <si>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</si>
  <si>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</si>
  <si>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</si>
  <si>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</si>
  <si>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</si>
  <si>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</si>
  <si>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</si>
  <si>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</si>
  <si>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</si>
  <si>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</si>
  <si>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</si>
  <si>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</si>
  <si>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</si>
  <si>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</si>
  <si>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</si>
  <si>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</si>
  <si>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</si>
  <si>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</si>
  <si>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</si>
  <si>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</si>
  <si>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</si>
  <si>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</si>
  <si>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</si>
  <si>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</si>
  <si>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</si>
  <si>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</si>
  <si>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</si>
  <si>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</si>
  <si>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</si>
  <si>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</si>
  <si>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</si>
  <si>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</si>
  <si>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</si>
  <si>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</si>
  <si>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</si>
  <si>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</si>
  <si>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</si>
  <si>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</si>
  <si>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</si>
  <si>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</si>
  <si>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</si>
  <si>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</si>
  <si>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</si>
  <si>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</si>
  <si>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</si>
  <si>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</si>
  <si>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</si>
  <si>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</si>
  <si>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</si>
  <si>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</si>
  <si>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</si>
  <si>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</si>
  <si>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</si>
  <si>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</si>
  <si>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</si>
  <si>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</si>
  <si>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</si>
  <si>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</si>
  <si>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</si>
  <si>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</si>
  <si>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</si>
  <si>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</si>
  <si>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</si>
  <si>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</si>
  <si>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</si>
  <si>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</si>
  <si>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 xml:space="preserve">Resignation </t>
  </si>
  <si>
    <t>Layoff is the highest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</si>
</sst>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workbookViewId="0">
      <selection activeCell="H15" sqref="H15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IF(D2&lt;=5,"Newcomer",IF(D2&gt;=10,"Expert","Proficient"))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 L2= "Resignation"),"Voluntary","Involuntary")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IF(D3&lt;=5,"Newcomer",IF(D3&gt;=10,"Expert","Proficient"))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 L3= "Resignation"),"Voluntary","Involuntary")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Expert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Expert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Expert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IF(D67&lt;=5,"Newcomer",IF(D67&gt;=10,"Expert","Proficient"))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 L67= 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Expert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Expert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Expert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IF(D131&lt;=5,"Newcomer",IF(D131&gt;=10,"Expert","Proficient"))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 L131= 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Expert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IF(D195&lt;=5,"Newcomer",IF(D195&gt;=10,"Expert","Proficient"))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 L195= 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IF(D259&lt;=5,"Newcomer",IF(D259&gt;=10,"Expert","Proficient"))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 L259= 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Expert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Expert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IF(D323&lt;=5,"Newcomer",IF(D323&gt;=10,"Expert","Proficient"))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 L323= 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Expert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Expert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Expert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IF(D387&lt;=5,"Newcomer",IF(D387&gt;=10,"Expert","Proficient"))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 L387= 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Expert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Expert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IF(D451&lt;=5,"Newcomer",IF(D451&gt;=10,"Expert","Proficient"))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 L451= 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Expert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Expert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Expert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Expert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IF(D515&lt;=5,"Newcomer",IF(D515&gt;=10,"Expert","Proficient"))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 L515= 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IF(D579&lt;=5,"Newcomer",IF(D579&gt;=10,"Expert","Proficient"))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 L579= 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Expert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Expert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Expert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Expert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Expert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Expert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Expert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Expert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IF(D643&lt;=5,"Newcomer",IF(D643&gt;=10,"Expert","Proficient"))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 L643= 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Expert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IF(D707&lt;=5,"Newcomer",IF(D707&gt;=10,"Expert","Proficient"))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 L707= 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IF(D771&lt;=5,"Newcomer",IF(D771&gt;=10,"Expert","Proficient"))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 L771= 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Expert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IF(D835&lt;=5,"Newcomer",IF(D835&gt;=10,"Expert","Proficient"))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 L835= 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Expert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Expert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Expert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Expert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IF(D899&lt;=5,"Newcomer",IF(D899&gt;=10,"Expert","Proficient"))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 L899= 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Expert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Expert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IF(D963&lt;=5,"Newcomer",IF(D963&gt;=10,"Expert","Proficient"))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 L963= 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Expert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Expert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Expert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IF(D1027&lt;=5,"Newcomer",IF(D1027&gt;=10,"Expert","Proficient"))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 L1027= 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Expert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IF(D1091&lt;=5,"Newcomer",IF(D1091&gt;=10,"Expert","Proficient"))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 L1091= 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Expert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Expert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Expert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IF(D1155&lt;=5,"Newcomer",IF(D1155&gt;=10,"Expert","Proficient"))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 L1155= 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Expert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IF(D1219&lt;=5,"Newcomer",IF(D1219&gt;=10,"Expert","Proficient"))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 L1219= 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Expert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Expert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Expert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IF(D1283&lt;=5,"Newcomer",IF(D1283&gt;=10,"Expert","Proficient"))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 L1283= 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Expert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Expert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IF(D1347&lt;=5,"Newcomer",IF(D1347&gt;=10,"Expert","Proficient"))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 L1347= 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Expert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Expert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Expert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IF(D1411&lt;=5,"Newcomer",IF(D1411&gt;=10,"Expert","Proficient"))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 L1411= 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Expert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IF(D1475&lt;=5,"Newcomer",IF(D1475&gt;=10,"Expert","Proficient"))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 L1475= 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opLeftCell="A36" zoomScale="137" workbookViewId="0">
      <selection activeCell="C47" sqref="C47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COUNTA(Data!L2:L1486)</f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C4+ C4*C7</f>
        <v>1588.95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41">
        <f>$C$4*(1+B12)</f>
        <v>1544.4</v>
      </c>
    </row>
    <row r="13" spans="1:3" x14ac:dyDescent="0.3">
      <c r="B13" s="18">
        <v>4.4999999999999998E-2</v>
      </c>
      <c r="C13" s="41">
        <f t="shared" ref="C13:C24" si="0">$C$4*(1+B13)</f>
        <v>1551.8249999999998</v>
      </c>
    </row>
    <row r="14" spans="1:3" x14ac:dyDescent="0.3">
      <c r="B14" s="18">
        <v>0.05</v>
      </c>
      <c r="C14" s="41">
        <f t="shared" si="0"/>
        <v>1559.25</v>
      </c>
    </row>
    <row r="15" spans="1:3" x14ac:dyDescent="0.3">
      <c r="B15" s="18">
        <v>5.5E-2</v>
      </c>
      <c r="C15" s="41">
        <f t="shared" si="0"/>
        <v>1566.675</v>
      </c>
    </row>
    <row r="16" spans="1:3" x14ac:dyDescent="0.3">
      <c r="B16" s="18">
        <v>0.06</v>
      </c>
      <c r="C16" s="41">
        <f t="shared" si="0"/>
        <v>1574.1000000000001</v>
      </c>
    </row>
    <row r="17" spans="1:3" x14ac:dyDescent="0.3">
      <c r="B17" s="18">
        <v>6.5000000000000002E-2</v>
      </c>
      <c r="C17" s="41">
        <f t="shared" si="0"/>
        <v>1581.5249999999999</v>
      </c>
    </row>
    <row r="18" spans="1:3" x14ac:dyDescent="0.3">
      <c r="B18" s="18">
        <v>7.0000000000000007E-2</v>
      </c>
      <c r="C18" s="41">
        <f t="shared" si="0"/>
        <v>1588.95</v>
      </c>
    </row>
    <row r="19" spans="1:3" x14ac:dyDescent="0.3">
      <c r="B19" s="18">
        <v>7.4999999999999997E-2</v>
      </c>
      <c r="C19" s="41">
        <f t="shared" si="0"/>
        <v>1596.375</v>
      </c>
    </row>
    <row r="20" spans="1:3" x14ac:dyDescent="0.3">
      <c r="B20" s="18">
        <v>0.08</v>
      </c>
      <c r="C20" s="41">
        <f t="shared" si="0"/>
        <v>1603.8000000000002</v>
      </c>
    </row>
    <row r="21" spans="1:3" x14ac:dyDescent="0.3">
      <c r="B21" s="18">
        <v>8.5000000000000006E-2</v>
      </c>
      <c r="C21" s="41">
        <f t="shared" si="0"/>
        <v>1611.2249999999999</v>
      </c>
    </row>
    <row r="22" spans="1:3" x14ac:dyDescent="0.3">
      <c r="B22" s="18">
        <v>0.09</v>
      </c>
      <c r="C22" s="41">
        <f t="shared" si="0"/>
        <v>1618.65</v>
      </c>
    </row>
    <row r="23" spans="1:3" x14ac:dyDescent="0.3">
      <c r="B23" s="18">
        <v>9.5000000000000001E-2</v>
      </c>
      <c r="C23" s="41">
        <f t="shared" si="0"/>
        <v>1626.075</v>
      </c>
    </row>
    <row r="24" spans="1:3" ht="15" thickBot="1" x14ac:dyDescent="0.35">
      <c r="B24" s="17">
        <v>0.1</v>
      </c>
      <c r="C24" s="41">
        <f t="shared" si="0"/>
        <v>1633.5000000000002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42">
        <f>C4*(1+B29)</f>
        <v>1551.8249999999998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5" x14ac:dyDescent="0.3">
      <c r="B33" s="15" t="s">
        <v>131</v>
      </c>
      <c r="C33" s="16" t="s">
        <v>132</v>
      </c>
    </row>
    <row r="34" spans="1:5" x14ac:dyDescent="0.3">
      <c r="B34" s="19" t="s">
        <v>19</v>
      </c>
      <c r="C34" s="13">
        <f>COUNTIF(Data!L2:L1486,"Retirement")</f>
        <v>392</v>
      </c>
      <c r="E34" t="s">
        <v>169</v>
      </c>
    </row>
    <row r="35" spans="1:5" x14ac:dyDescent="0.3">
      <c r="B35" s="19" t="s">
        <v>168</v>
      </c>
      <c r="C35" s="13">
        <f>COUNTIF(Data!L2:L1486,"Resignation")</f>
        <v>385</v>
      </c>
    </row>
    <row r="36" spans="1:5" ht="15" thickBot="1" x14ac:dyDescent="0.35">
      <c r="B36" s="20" t="s">
        <v>96</v>
      </c>
      <c r="C36" s="13">
        <f>COUNTIF(Data!L2:L1486,"Layoff")</f>
        <v>708</v>
      </c>
    </row>
    <row r="38" spans="1:5" ht="15" thickBot="1" x14ac:dyDescent="0.35">
      <c r="B38" s="21" t="s">
        <v>133</v>
      </c>
    </row>
    <row r="39" spans="1:5" x14ac:dyDescent="0.3">
      <c r="B39" s="15" t="s">
        <v>131</v>
      </c>
      <c r="C39" s="16" t="s">
        <v>132</v>
      </c>
    </row>
    <row r="40" spans="1:5" ht="15" thickBot="1" x14ac:dyDescent="0.35">
      <c r="B40" s="20" t="str">
        <f>INDEX(B34:B36,MATCH(MAX(C34:C36),C34:C36,0))</f>
        <v>Layoff</v>
      </c>
      <c r="C40" s="14">
        <f>MAX(C34:C36)</f>
        <v>708</v>
      </c>
    </row>
    <row r="42" spans="1:5" x14ac:dyDescent="0.3">
      <c r="A42" s="23" t="s">
        <v>134</v>
      </c>
      <c r="B42" t="s">
        <v>135</v>
      </c>
    </row>
    <row r="44" spans="1:5" x14ac:dyDescent="0.3">
      <c r="B44" t="s">
        <v>136</v>
      </c>
    </row>
    <row r="45" spans="1:5" x14ac:dyDescent="0.3">
      <c r="B45" t="s">
        <v>137</v>
      </c>
      <c r="C45" s="22">
        <f>COUNTA(Data!L2:L1486)</f>
        <v>1485</v>
      </c>
    </row>
    <row r="46" spans="1:5" x14ac:dyDescent="0.3">
      <c r="B46" t="s">
        <v>138</v>
      </c>
      <c r="C46" s="8">
        <f>COUNTIF(Data!M2:M1486,"Voluntary")</f>
        <v>777</v>
      </c>
    </row>
    <row r="47" spans="1:5" x14ac:dyDescent="0.3">
      <c r="B47" s="10" t="s">
        <v>139</v>
      </c>
      <c r="C47" s="25">
        <f>(C46/C45)</f>
        <v>0.52323232323232327</v>
      </c>
    </row>
    <row r="49" spans="1:1" x14ac:dyDescent="0.3">
      <c r="A49" s="2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opLeftCell="A7" workbookViewId="0">
      <selection activeCell="A20" sqref="A20"/>
    </sheetView>
  </sheetViews>
  <sheetFormatPr defaultRowHeight="14.4" x14ac:dyDescent="0.3"/>
  <sheetData>
    <row r="1" spans="1:4" ht="17.399999999999999" x14ac:dyDescent="0.3">
      <c r="A1" s="26" t="s">
        <v>141</v>
      </c>
    </row>
    <row r="2" spans="1:4" x14ac:dyDescent="0.3">
      <c r="A2" s="27" t="s">
        <v>142</v>
      </c>
    </row>
    <row r="3" spans="1:4" x14ac:dyDescent="0.3">
      <c r="A3" s="27"/>
    </row>
    <row r="4" spans="1:4" ht="17.399999999999999" x14ac:dyDescent="0.3">
      <c r="A4" s="29" t="s">
        <v>143</v>
      </c>
    </row>
    <row r="5" spans="1:4" x14ac:dyDescent="0.3">
      <c r="A5" s="30" t="s">
        <v>144</v>
      </c>
      <c r="D5" s="30" t="s">
        <v>145</v>
      </c>
    </row>
    <row r="6" spans="1:4" x14ac:dyDescent="0.3">
      <c r="A6" s="31" t="s">
        <v>146</v>
      </c>
    </row>
    <row r="7" spans="1:4" x14ac:dyDescent="0.3">
      <c r="A7" s="32" t="s">
        <v>147</v>
      </c>
    </row>
    <row r="8" spans="1:4" x14ac:dyDescent="0.3">
      <c r="A8" s="31" t="s">
        <v>148</v>
      </c>
    </row>
    <row r="9" spans="1:4" x14ac:dyDescent="0.3">
      <c r="A9" s="33"/>
    </row>
    <row r="10" spans="1:4" x14ac:dyDescent="0.3">
      <c r="A10" s="30" t="s">
        <v>149</v>
      </c>
    </row>
    <row r="11" spans="1:4" x14ac:dyDescent="0.3">
      <c r="A11" s="27" t="s">
        <v>150</v>
      </c>
    </row>
    <row r="12" spans="1:4" x14ac:dyDescent="0.3">
      <c r="A12" s="31" t="s">
        <v>151</v>
      </c>
    </row>
    <row r="13" spans="1:4" x14ac:dyDescent="0.3">
      <c r="A13" s="31" t="s">
        <v>152</v>
      </c>
    </row>
    <row r="14" spans="1:4" x14ac:dyDescent="0.3">
      <c r="A14" s="28" t="s">
        <v>153</v>
      </c>
    </row>
    <row r="15" spans="1:4" x14ac:dyDescent="0.3">
      <c r="A15" s="31" t="s">
        <v>154</v>
      </c>
    </row>
    <row r="16" spans="1:4" x14ac:dyDescent="0.3">
      <c r="A16" s="34" t="s">
        <v>155</v>
      </c>
    </row>
    <row r="17" spans="1:5" x14ac:dyDescent="0.3">
      <c r="A17" s="35" t="s">
        <v>156</v>
      </c>
      <c r="E17" s="35" t="s">
        <v>157</v>
      </c>
    </row>
    <row r="18" spans="1:5" x14ac:dyDescent="0.3">
      <c r="A18" s="31" t="s">
        <v>158</v>
      </c>
    </row>
    <row r="19" spans="1:5" x14ac:dyDescent="0.3">
      <c r="A19" s="36" t="s">
        <v>159</v>
      </c>
    </row>
    <row r="20" spans="1:5" x14ac:dyDescent="0.3">
      <c r="A20" s="36" t="s">
        <v>160</v>
      </c>
    </row>
    <row r="21" spans="1:5" x14ac:dyDescent="0.3">
      <c r="A21" s="37" t="s">
        <v>161</v>
      </c>
    </row>
    <row r="22" spans="1:5" x14ac:dyDescent="0.3">
      <c r="A22" s="35"/>
    </row>
    <row r="23" spans="1:5" x14ac:dyDescent="0.3">
      <c r="A23" s="31" t="s">
        <v>162</v>
      </c>
    </row>
    <row r="24" spans="1:5" x14ac:dyDescent="0.3">
      <c r="A24" s="38" t="s">
        <v>163</v>
      </c>
    </row>
    <row r="25" spans="1:5" x14ac:dyDescent="0.3">
      <c r="A25" s="38" t="s">
        <v>164</v>
      </c>
    </row>
    <row r="26" spans="1:5" x14ac:dyDescent="0.3">
      <c r="A26" s="38" t="s">
        <v>165</v>
      </c>
    </row>
    <row r="27" spans="1:5" x14ac:dyDescent="0.3">
      <c r="A27" s="39" t="s">
        <v>166</v>
      </c>
    </row>
    <row r="28" spans="1:5" x14ac:dyDescent="0.3">
      <c r="A28" s="30"/>
    </row>
    <row r="29" spans="1:5" x14ac:dyDescent="0.3">
      <c r="A29" s="30"/>
    </row>
    <row r="30" spans="1:5" x14ac:dyDescent="0.3">
      <c r="A30" s="27"/>
    </row>
    <row r="31" spans="1:5" x14ac:dyDescent="0.3">
      <c r="A31" s="27"/>
    </row>
    <row r="32" spans="1:5" x14ac:dyDescent="0.3">
      <c r="A32" s="40" t="s">
        <v>167</v>
      </c>
    </row>
    <row r="33" spans="1:1" x14ac:dyDescent="0.3">
      <c r="A3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Bipasa ray</cp:lastModifiedBy>
  <cp:lastPrinted>2026-05-31T15:52:24Z</cp:lastPrinted>
  <dcterms:created xsi:type="dcterms:W3CDTF">2022-04-06T06:28:55Z</dcterms:created>
  <dcterms:modified xsi:type="dcterms:W3CDTF">2026-05-31T16:19:47Z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